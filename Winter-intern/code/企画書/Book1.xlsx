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yashitahiroshinozomi/Desktop/"/>
    </mc:Choice>
  </mc:AlternateContent>
  <xr:revisionPtr revIDLastSave="0" documentId="13_ncr:1_{74255AEC-5E1B-5147-9D94-CCE66D947551}" xr6:coauthVersionLast="45" xr6:coauthVersionMax="45" xr10:uidLastSave="{00000000-0000-0000-0000-000000000000}"/>
  <bookViews>
    <workbookView xWindow="0" yWindow="0" windowWidth="28800" windowHeight="18000" xr2:uid="{466E1B15-47FD-2E44-933C-EFACFE5E7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2" i="1" l="1"/>
  <c r="B76" i="1"/>
  <c r="B67" i="1"/>
  <c r="B51" i="1"/>
  <c r="B43" i="1"/>
  <c r="B25" i="1" l="1"/>
</calcChain>
</file>

<file path=xl/sharedStrings.xml><?xml version="1.0" encoding="utf-8"?>
<sst xmlns="http://schemas.openxmlformats.org/spreadsheetml/2006/main" count="81" uniqueCount="78">
  <si>
    <t>公益社団法人京都保健会総合ケアステーションわかば</t>
  </si>
  <si>
    <t>ヘルパーステーションそうま</t>
  </si>
  <si>
    <t>社会福祉法人京都福祉サービス協会小川事務所</t>
    <phoneticPr fontId="2"/>
  </si>
  <si>
    <t>聚楽ヘルパーステーション</t>
  </si>
  <si>
    <t>有限会社ヘルパーステーションさくら</t>
  </si>
  <si>
    <t>有限会社介護ステーションふれんず葉賀</t>
  </si>
  <si>
    <t>訪問介護まごのて西陣</t>
  </si>
  <si>
    <t>ＮＰＯ法人高齢者ネット援護会みつわ倶楽部</t>
  </si>
  <si>
    <t>訪問介護ステーションナービス京都二条</t>
  </si>
  <si>
    <t>鞍馬口ヘルパーステーション</t>
  </si>
  <si>
    <t>春花ヘルパーステーション</t>
  </si>
  <si>
    <t>ひまわり訪問介護事業所</t>
  </si>
  <si>
    <t>ひなぎくの丘ホームヘルプサービス</t>
  </si>
  <si>
    <t>ホームヘルプサービス　ソラスト上京</t>
  </si>
  <si>
    <t>訪問介護事業所　フォワイエ</t>
  </si>
  <si>
    <t>学研ココファン西陣中央ヘルパーセンター</t>
  </si>
  <si>
    <t>訪問介護事業所　ココ・クリブ</t>
  </si>
  <si>
    <t>クローバー訪問介護サービス</t>
  </si>
  <si>
    <t>訪問介護まごのて一条</t>
  </si>
  <si>
    <t>せんしゅんかい　訪問介護センター　のぞみ</t>
  </si>
  <si>
    <t>居宅介護支援センターたんぽぽ</t>
  </si>
  <si>
    <t>訪問介護まごのて御所北</t>
  </si>
  <si>
    <t>ヒューマンライフサービス有限会社</t>
    <phoneticPr fontId="1"/>
  </si>
  <si>
    <t>合計</t>
    <rPh sb="0" eb="2">
      <t>ゴウケイ</t>
    </rPh>
    <phoneticPr fontId="1"/>
  </si>
  <si>
    <t>公益社団法人京都保健会デイサービスわかば</t>
  </si>
  <si>
    <t>社会福祉法人京都市社会福祉協議会京都市出水老人デイサービスセンター</t>
  </si>
  <si>
    <t>堀川こぶしの里デイサービスセンター</t>
  </si>
  <si>
    <t>有限会社共進デイサービスセンターやまざと</t>
  </si>
  <si>
    <t>ひなぎくの丘デイサービスセンター</t>
  </si>
  <si>
    <t>社会福祉法人京都市社会福祉協議会　京都市仁和老人デイサービスセンター</t>
  </si>
  <si>
    <t>京都市成逸老人デイサービスセンター</t>
    <phoneticPr fontId="1"/>
  </si>
  <si>
    <t>デイサービスセンター千本笹屋町</t>
  </si>
  <si>
    <t>デイサービスセンター　カルナライフ</t>
  </si>
  <si>
    <t>花友じゅらくだいデイサービス</t>
    <phoneticPr fontId="2"/>
  </si>
  <si>
    <t>デイサービスセンター　カサ六瓢</t>
  </si>
  <si>
    <t>デイサービス　花の西陣</t>
  </si>
  <si>
    <t>京都市小川老人デイサービスセンター</t>
  </si>
  <si>
    <t>だいこくデイサービス</t>
  </si>
  <si>
    <t>オアシスリハー</t>
  </si>
  <si>
    <t>特別養護老人ホーム　西陣憩いの郷</t>
  </si>
  <si>
    <t>通所介護</t>
  </si>
  <si>
    <t>訪問介護</t>
    <rPh sb="0" eb="4">
      <t>ホウモn</t>
    </rPh>
    <phoneticPr fontId="1"/>
  </si>
  <si>
    <t>短期入所生活介護</t>
  </si>
  <si>
    <t>京都市小川特別養護老人ホーム</t>
  </si>
  <si>
    <t>待機者</t>
    <rPh sb="0" eb="3">
      <t>タイキ</t>
    </rPh>
    <phoneticPr fontId="1"/>
  </si>
  <si>
    <t>短期入所生活介護事業所おんまえどおり</t>
  </si>
  <si>
    <t>介護付有料老人ホーム　プレザンメゾン堀川今出川</t>
  </si>
  <si>
    <t>洛和ホームライフ御所北</t>
  </si>
  <si>
    <t>チャームスイート京都立本寺</t>
  </si>
  <si>
    <t>地域密着型通所介護</t>
  </si>
  <si>
    <t>医療法人永原診療会通所介護自在館嬉楽家</t>
  </si>
  <si>
    <t>ヒューマンライフサービス有限会社　花・デイサービス</t>
  </si>
  <si>
    <t>十四軒町デイサービスセンター</t>
  </si>
  <si>
    <t>絆ひだまりの会大心院の家</t>
  </si>
  <si>
    <t>デイサービス　ソラスト上京</t>
  </si>
  <si>
    <t>カルナ西陣デイサービス</t>
  </si>
  <si>
    <t>デイサービスまごのて西陣</t>
  </si>
  <si>
    <t>出町茶論</t>
  </si>
  <si>
    <t>きらく庵デイサービスセンター西陣</t>
  </si>
  <si>
    <t>カエラデイサービスセンター</t>
  </si>
  <si>
    <t>リハビリデイサービス　ら・し・く</t>
  </si>
  <si>
    <t>社会福祉法人京都市社会福祉協議会　京都市上京老人デイサービスセンター　</t>
  </si>
  <si>
    <t>糸屋町デイサービスセンター</t>
  </si>
  <si>
    <t>デイサービスセンター凪</t>
  </si>
  <si>
    <t>小規模多機能型居宅介護</t>
  </si>
  <si>
    <t>十四軒町の家　小規模多機能ホーム</t>
  </si>
  <si>
    <t>小規模多機能型居宅介護事業所　小川</t>
  </si>
  <si>
    <t>小規模多機能施設「和泉の家」</t>
  </si>
  <si>
    <t>医療法人三幸会ケアサポートセンター千本今出川</t>
  </si>
  <si>
    <t>小規模多機能型居宅介護たのしい家西陣</t>
  </si>
  <si>
    <t>エクセレント聚楽第</t>
  </si>
  <si>
    <t>はるかぜガーデン御前</t>
  </si>
  <si>
    <t>地域密着型特定施設入居者生活介護</t>
  </si>
  <si>
    <t>アーバンヴィラ千本笹屋町</t>
  </si>
  <si>
    <t>地域密着型介護老人福祉施設おんまえどおり</t>
  </si>
  <si>
    <t>合計</t>
    <rPh sb="0" eb="2">
      <t xml:space="preserve">ゴウケイ </t>
    </rPh>
    <phoneticPr fontId="1"/>
  </si>
  <si>
    <t>合計</t>
    <rPh sb="0" eb="1">
      <t>ゴウケイ</t>
    </rPh>
    <phoneticPr fontId="1"/>
  </si>
  <si>
    <t>トータル合計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</si>
</sst>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5"/>
      <color rgb="FF212529"/>
      <name val="メイリオ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2" xfId="0" applyNumberFormat="1" applyFill="1" applyBorder="1" applyAlignment="1">
      <alignment horizontal="left" vertical="center" wrapText="1"/>
    </xf>
    <xf numFmtId="0" fontId="3" fillId="0" borderId="0" xfId="0" applyFont="1">
      <alignment vertical="center"/>
    </xf>
    <xf numFmtId="49" fontId="0" fillId="0" borderId="0" xfId="0" applyNumberForma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1271160</xdr:colOff>
      <xdr:row>0</xdr:row>
      <xdr:rowOff>129600</xdr:rowOff>
    </xdr:from>
    <xdr:to>
      <xdr:col>0</xdr:col>
      <xdr:colOff>2435400</xdr:colOff>
      <xdr:row>0</xdr:row>
      <xdr:rowOff>228600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5" name="インク 4">
              <a:extLst>
                <a:ext uri="{FF2B5EF4-FFF2-40B4-BE49-F238E27FC236}">
                  <a16:creationId xmlns:a16="http://schemas.microsoft.com/office/drawing/2014/main" id="{2129EEBE-864F-BA48-88E7-915694D7ECF4}"/>
                </a:ext>
              </a:extLst>
            </xdr14:cNvPr>
            <xdr14:cNvContentPartPr/>
          </xdr14:nvContentPartPr>
          <xdr14:nvPr macro=""/>
          <xdr14:xfrm>
            <a:off x="1271160" y="129600"/>
            <a:ext cx="1164240" cy="99000"/>
          </xdr14:xfrm>
        </xdr:contentPart>
      </mc:Choice>
      <mc:Fallback>
        <xdr:pic>
          <xdr:nvPicPr>
            <xdr:cNvPr id="5" name="インク 4">
              <a:extLst>
                <a:ext uri="{FF2B5EF4-FFF2-40B4-BE49-F238E27FC236}">
                  <a16:creationId xmlns:a16="http://schemas.microsoft.com/office/drawing/2014/main" id="{2129EEBE-864F-BA48-88E7-915694D7EC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62160" y="120960"/>
              <a:ext cx="1181880" cy="116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0-15T04:57:16.08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0 144 24575,'20'0'0,"1"0"0,15 7 0,3 2 0,9 7 0,1 0 0,-1 0 0,1 0 0,0 0 0,-1-7 0,1-2 0,-1 0 0,-9-5 0,6 5 0,22-7 0,1 0-1041,-10 0 1,7 0 1040,14 0 0,4 0-1053,-18 0 0,2 0 1,4 0 1052,18 1 0,5 0 0,0-3-1050,-1-5 0,1-5 1,0 1 1049,-17 2 0,1 0 0,0 0 0,-4-2 0,7-4 0,-3-2 0,1 0-551,10-4 1,2 0-1,-8 2 551,1 4 0,-5 0 122,11-6 1,-3 2-123,-28 11 0,-5 2 2214,24-3-2214,-27 9 3359,-15 0-3359,-17 0 2572,-2 0-2572,-14 0 1650,-4 0-1650,-8 0 0,0 0 0,-2 0 0,1 0 0,-7 0 0,5 4 0,-13-3 0,5 10 0,-6-10 0,-11 12 0,8-11 0,-7 11 0,0-11 0,7 9 0,-7-9 0,0 3 0,7-5 0,-7 0 0,-1 0 0,9 0 0,-18 0 0,17 0 0,-17 0 0,7 0 0,-23 0 0,-2 0 0,-29 0 0,12 0-221,28 0 1,-1 0 220,-26 0 0,26 0 0,1 0 0,-28 0 0,-11 0 0,27 0 0,4 0 0,13 0 0,-1 0 0,11 0 0,-9 0 0,18 0 441,-17 0-441,17 0 0,-7 0 0,9 0 0,1 0 0,0 0 0,6 0 0,3 0 0,7 0 0,5 4 0,1 0 0,4 5 0,4-5 0,19 0 0,-1-4 0,2 0 0,-12 0 0</inkml:trace>
</inkml: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9181-B957-9244-983E-5C987391FA67}">
  <dimension ref="A1:D82"/>
  <sheetViews>
    <sheetView tabSelected="1" topLeftCell="A64" workbookViewId="0"/>
  </sheetViews>
  <sheetFormatPr baseColWidth="10" defaultRowHeight="20"/>
  <cols>
    <col min="1" max="1" width="30.42578125" customWidth="1"/>
  </cols>
  <sheetData>
    <row r="1" spans="1:2">
      <c r="A1" t="s">
        <v>41</v>
      </c>
    </row>
    <row r="2" spans="1:2" ht="44" customHeight="1">
      <c r="A2" s="1" t="s">
        <v>0</v>
      </c>
      <c r="B2">
        <v>116</v>
      </c>
    </row>
    <row r="3" spans="1:2" ht="21">
      <c r="A3" s="1" t="s">
        <v>1</v>
      </c>
      <c r="B3">
        <v>4</v>
      </c>
    </row>
    <row r="4" spans="1:2" ht="21">
      <c r="A4" s="1" t="s">
        <v>22</v>
      </c>
      <c r="B4">
        <v>42</v>
      </c>
    </row>
    <row r="5" spans="1:2" ht="42">
      <c r="A5" s="1" t="s">
        <v>2</v>
      </c>
      <c r="B5">
        <v>303</v>
      </c>
    </row>
    <row r="6" spans="1:2" ht="21">
      <c r="A6" s="1" t="s">
        <v>3</v>
      </c>
      <c r="B6">
        <v>102</v>
      </c>
    </row>
    <row r="7" spans="1:2" ht="21">
      <c r="A7" s="1" t="s">
        <v>4</v>
      </c>
      <c r="B7">
        <v>14</v>
      </c>
    </row>
    <row r="8" spans="1:2" ht="42">
      <c r="A8" s="1" t="s">
        <v>5</v>
      </c>
      <c r="B8">
        <v>28</v>
      </c>
    </row>
    <row r="9" spans="1:2" ht="21">
      <c r="A9" s="1" t="s">
        <v>6</v>
      </c>
      <c r="B9">
        <v>41</v>
      </c>
    </row>
    <row r="10" spans="1:2" ht="42">
      <c r="A10" s="1" t="s">
        <v>7</v>
      </c>
      <c r="B10">
        <v>33</v>
      </c>
    </row>
    <row r="11" spans="1:2" ht="42">
      <c r="A11" s="1" t="s">
        <v>8</v>
      </c>
      <c r="B11">
        <v>39</v>
      </c>
    </row>
    <row r="12" spans="1:2" ht="21">
      <c r="A12" s="1" t="s">
        <v>9</v>
      </c>
    </row>
    <row r="13" spans="1:2" ht="21">
      <c r="A13" s="1" t="s">
        <v>10</v>
      </c>
      <c r="B13">
        <v>45</v>
      </c>
    </row>
    <row r="14" spans="1:2" ht="21">
      <c r="A14" s="1" t="s">
        <v>11</v>
      </c>
    </row>
    <row r="15" spans="1:2" ht="21">
      <c r="A15" s="1" t="s">
        <v>12</v>
      </c>
      <c r="B15">
        <v>96</v>
      </c>
    </row>
    <row r="16" spans="1:2" ht="21">
      <c r="A16" s="1" t="s">
        <v>13</v>
      </c>
      <c r="B16">
        <v>70</v>
      </c>
    </row>
    <row r="17" spans="1:2" ht="21">
      <c r="A17" s="1" t="s">
        <v>14</v>
      </c>
    </row>
    <row r="18" spans="1:2" ht="42">
      <c r="A18" s="1" t="s">
        <v>15</v>
      </c>
      <c r="B18">
        <v>21</v>
      </c>
    </row>
    <row r="19" spans="1:2" ht="21">
      <c r="A19" s="1" t="s">
        <v>16</v>
      </c>
    </row>
    <row r="20" spans="1:2" ht="21">
      <c r="A20" s="1" t="s">
        <v>17</v>
      </c>
      <c r="B20">
        <v>39</v>
      </c>
    </row>
    <row r="21" spans="1:2" ht="21">
      <c r="A21" s="1" t="s">
        <v>18</v>
      </c>
    </row>
    <row r="22" spans="1:2" ht="42">
      <c r="A22" s="1" t="s">
        <v>19</v>
      </c>
      <c r="B22">
        <v>33</v>
      </c>
    </row>
    <row r="23" spans="1:2" ht="21">
      <c r="A23" s="1" t="s">
        <v>20</v>
      </c>
      <c r="B23">
        <v>105</v>
      </c>
    </row>
    <row r="24" spans="1:2" ht="21">
      <c r="A24" s="1" t="s">
        <v>21</v>
      </c>
    </row>
    <row r="25" spans="1:2" ht="21">
      <c r="A25" s="2" t="s">
        <v>23</v>
      </c>
      <c r="B25">
        <f>SUM(B2:B23)</f>
        <v>1131</v>
      </c>
    </row>
    <row r="26" spans="1:2" ht="23" customHeight="1"/>
    <row r="27" spans="1:2" ht="21">
      <c r="A27" s="1" t="s">
        <v>40</v>
      </c>
    </row>
    <row r="28" spans="1:2" ht="42">
      <c r="A28" s="1" t="s">
        <v>24</v>
      </c>
      <c r="B28" s="3">
        <v>30</v>
      </c>
    </row>
    <row r="29" spans="1:2" ht="42">
      <c r="A29" s="1" t="s">
        <v>25</v>
      </c>
      <c r="B29">
        <v>79</v>
      </c>
    </row>
    <row r="30" spans="1:2" ht="21">
      <c r="A30" s="1" t="s">
        <v>26</v>
      </c>
      <c r="B30">
        <v>23</v>
      </c>
    </row>
    <row r="31" spans="1:2" ht="42">
      <c r="A31" s="1" t="s">
        <v>27</v>
      </c>
      <c r="B31">
        <v>25</v>
      </c>
    </row>
    <row r="32" spans="1:2" ht="21">
      <c r="A32" s="1" t="s">
        <v>28</v>
      </c>
      <c r="B32">
        <v>63</v>
      </c>
    </row>
    <row r="33" spans="1:4" ht="42">
      <c r="A33" s="1" t="s">
        <v>29</v>
      </c>
      <c r="B33">
        <v>86</v>
      </c>
    </row>
    <row r="34" spans="1:4" ht="21">
      <c r="A34" s="2" t="s">
        <v>30</v>
      </c>
      <c r="B34">
        <v>30</v>
      </c>
    </row>
    <row r="35" spans="1:4" ht="21">
      <c r="A35" s="1" t="s">
        <v>31</v>
      </c>
      <c r="B35">
        <v>30</v>
      </c>
    </row>
    <row r="36" spans="1:4" ht="21">
      <c r="A36" s="1" t="s">
        <v>32</v>
      </c>
      <c r="B36">
        <v>24</v>
      </c>
    </row>
    <row r="37" spans="1:4" ht="21">
      <c r="A37" s="1" t="s">
        <v>33</v>
      </c>
      <c r="B37">
        <v>125</v>
      </c>
    </row>
    <row r="38" spans="1:4" ht="21">
      <c r="A38" s="1" t="s">
        <v>34</v>
      </c>
      <c r="B38">
        <v>22</v>
      </c>
    </row>
    <row r="39" spans="1:4" ht="21">
      <c r="A39" s="1" t="s">
        <v>35</v>
      </c>
      <c r="B39">
        <v>33</v>
      </c>
    </row>
    <row r="40" spans="1:4" ht="21">
      <c r="A40" s="1" t="s">
        <v>36</v>
      </c>
      <c r="B40">
        <v>30</v>
      </c>
    </row>
    <row r="41" spans="1:4" ht="21">
      <c r="A41" s="1" t="s">
        <v>37</v>
      </c>
      <c r="B41">
        <v>19</v>
      </c>
    </row>
    <row r="42" spans="1:4" ht="21">
      <c r="A42" s="1" t="s">
        <v>38</v>
      </c>
      <c r="B42">
        <v>30</v>
      </c>
    </row>
    <row r="43" spans="1:4" ht="21">
      <c r="A43" s="2" t="s">
        <v>75</v>
      </c>
      <c r="B43">
        <f>SUM(B28:B42)</f>
        <v>649</v>
      </c>
    </row>
    <row r="44" spans="1:4" ht="21">
      <c r="A44" s="1" t="s">
        <v>42</v>
      </c>
    </row>
    <row r="45" spans="1:4" ht="21">
      <c r="A45" s="1" t="s">
        <v>39</v>
      </c>
      <c r="B45">
        <v>102</v>
      </c>
    </row>
    <row r="46" spans="1:4" ht="21">
      <c r="A46" s="1" t="s">
        <v>43</v>
      </c>
      <c r="B46">
        <v>70</v>
      </c>
      <c r="C46" t="s">
        <v>44</v>
      </c>
      <c r="D46">
        <v>1300</v>
      </c>
    </row>
    <row r="47" spans="1:4" ht="42">
      <c r="A47" s="1" t="s">
        <v>45</v>
      </c>
      <c r="B47">
        <v>22</v>
      </c>
    </row>
    <row r="48" spans="1:4" ht="42">
      <c r="A48" s="1" t="s">
        <v>46</v>
      </c>
      <c r="B48">
        <v>60</v>
      </c>
    </row>
    <row r="49" spans="1:2" ht="21">
      <c r="A49" s="1" t="s">
        <v>47</v>
      </c>
      <c r="B49">
        <v>44</v>
      </c>
    </row>
    <row r="50" spans="1:2" ht="21">
      <c r="A50" s="1" t="s">
        <v>48</v>
      </c>
      <c r="B50">
        <v>75</v>
      </c>
    </row>
    <row r="51" spans="1:2" ht="21">
      <c r="A51" s="2" t="s">
        <v>76</v>
      </c>
      <c r="B51">
        <f>SUM(B45:B50)</f>
        <v>373</v>
      </c>
    </row>
    <row r="52" spans="1:2" ht="21">
      <c r="A52" s="1" t="s">
        <v>49</v>
      </c>
    </row>
    <row r="53" spans="1:2" ht="42">
      <c r="A53" s="1" t="s">
        <v>50</v>
      </c>
      <c r="B53">
        <v>30</v>
      </c>
    </row>
    <row r="54" spans="1:2" ht="42">
      <c r="A54" s="1" t="s">
        <v>51</v>
      </c>
      <c r="B54">
        <v>10</v>
      </c>
    </row>
    <row r="55" spans="1:2" ht="21">
      <c r="A55" s="1" t="s">
        <v>52</v>
      </c>
      <c r="B55">
        <v>46</v>
      </c>
    </row>
    <row r="56" spans="1:2" ht="21">
      <c r="A56" s="1" t="s">
        <v>53</v>
      </c>
      <c r="B56">
        <v>31</v>
      </c>
    </row>
    <row r="57" spans="1:2" ht="21">
      <c r="A57" s="1" t="s">
        <v>54</v>
      </c>
      <c r="B57">
        <v>43</v>
      </c>
    </row>
    <row r="58" spans="1:2" ht="21">
      <c r="A58" s="1" t="s">
        <v>55</v>
      </c>
      <c r="B58">
        <v>52</v>
      </c>
    </row>
    <row r="59" spans="1:2" ht="21">
      <c r="A59" s="1" t="s">
        <v>56</v>
      </c>
      <c r="B59">
        <v>10</v>
      </c>
    </row>
    <row r="60" spans="1:2" ht="21">
      <c r="A60" s="1" t="s">
        <v>57</v>
      </c>
      <c r="B60">
        <v>10</v>
      </c>
    </row>
    <row r="61" spans="1:2" ht="21">
      <c r="A61" s="1" t="s">
        <v>58</v>
      </c>
      <c r="B61">
        <v>18</v>
      </c>
    </row>
    <row r="62" spans="1:2" ht="21">
      <c r="A62" s="1" t="s">
        <v>59</v>
      </c>
      <c r="B62">
        <v>10</v>
      </c>
    </row>
    <row r="63" spans="1:2" ht="21">
      <c r="A63" s="1" t="s">
        <v>60</v>
      </c>
      <c r="B63">
        <v>50</v>
      </c>
    </row>
    <row r="64" spans="1:2" ht="42">
      <c r="A64" s="1" t="s">
        <v>61</v>
      </c>
      <c r="B64">
        <v>30</v>
      </c>
    </row>
    <row r="65" spans="1:2" ht="21">
      <c r="A65" s="1" t="s">
        <v>62</v>
      </c>
      <c r="B65">
        <v>36</v>
      </c>
    </row>
    <row r="66" spans="1:2" ht="21">
      <c r="A66" s="1" t="s">
        <v>63</v>
      </c>
      <c r="B66">
        <v>23</v>
      </c>
    </row>
    <row r="67" spans="1:2" ht="21">
      <c r="A67" s="2" t="s">
        <v>23</v>
      </c>
      <c r="B67">
        <f>SUM(B53:B66)</f>
        <v>399</v>
      </c>
    </row>
    <row r="68" spans="1:2" ht="21">
      <c r="A68" s="1" t="s">
        <v>64</v>
      </c>
    </row>
    <row r="69" spans="1:2" ht="21">
      <c r="A69" s="1" t="s">
        <v>65</v>
      </c>
      <c r="B69">
        <v>26</v>
      </c>
    </row>
    <row r="70" spans="1:2" ht="21">
      <c r="A70" s="1" t="s">
        <v>66</v>
      </c>
      <c r="B70">
        <v>19</v>
      </c>
    </row>
    <row r="71" spans="1:2" ht="21">
      <c r="A71" s="1" t="s">
        <v>67</v>
      </c>
      <c r="B71">
        <v>19</v>
      </c>
    </row>
    <row r="72" spans="1:2" ht="42">
      <c r="A72" s="1" t="s">
        <v>68</v>
      </c>
      <c r="B72">
        <v>15</v>
      </c>
    </row>
    <row r="73" spans="1:2" ht="42">
      <c r="A73" s="1" t="s">
        <v>69</v>
      </c>
      <c r="B73">
        <v>25</v>
      </c>
    </row>
    <row r="74" spans="1:2" ht="21">
      <c r="A74" s="1" t="s">
        <v>70</v>
      </c>
      <c r="B74">
        <v>30</v>
      </c>
    </row>
    <row r="75" spans="1:2" ht="21">
      <c r="A75" s="1" t="s">
        <v>71</v>
      </c>
      <c r="B75">
        <v>17</v>
      </c>
    </row>
    <row r="76" spans="1:2" ht="21">
      <c r="A76" s="2" t="s">
        <v>23</v>
      </c>
      <c r="B76">
        <f>SUM(B69:B75)</f>
        <v>151</v>
      </c>
    </row>
    <row r="77" spans="1:2" ht="21">
      <c r="A77" s="1" t="s">
        <v>72</v>
      </c>
    </row>
    <row r="78" spans="1:2" ht="21">
      <c r="A78" s="1" t="s">
        <v>73</v>
      </c>
      <c r="B78">
        <v>26</v>
      </c>
    </row>
    <row r="79" spans="1:2" ht="42">
      <c r="A79" s="1" t="s">
        <v>74</v>
      </c>
      <c r="B79">
        <v>8</v>
      </c>
    </row>
    <row r="80" spans="1:2" ht="21">
      <c r="A80" s="2" t="s">
        <v>23</v>
      </c>
      <c r="B80">
        <v>34</v>
      </c>
    </row>
    <row r="82" spans="1:2" ht="21">
      <c r="A82" s="4" t="s">
        <v>77</v>
      </c>
      <c r="B82">
        <f>SUM(B25,B43,B51,B67,B76,B80)</f>
        <v>2737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2020-10-14T04:08:10Z</dcterms:created>
  <dcterms:modified xsi:type="dcterms:W3CDTF">2020-10-20T00:59:42Z</dcterms:modified>
</cp:coreProperties>
</file>